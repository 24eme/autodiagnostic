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V:\Enquêtes\Outil d'autodiagnostic\"/>
    </mc:Choice>
  </mc:AlternateContent>
  <bookViews>
    <workbookView xWindow="0" yWindow="0" windowWidth="28800" windowHeight="12135"/>
  </bookViews>
  <sheets>
    <sheet name="BILAN AZOTE" sheetId="1" r:id="rId1"/>
  </sheets>
  <calcPr calcId="152511" fullCalcOnLoad="1"/>
</workbook>
</file>

<file path=xl/calcChain.xml><?xml version="1.0" encoding="utf-8"?>
<calcChain xmlns="http://schemas.openxmlformats.org/spreadsheetml/2006/main">
  <c r="E8" i="1" l="1"/>
  <c r="E9" i="1"/>
  <c r="D23" i="1"/>
  <c r="E23" i="1" s="1"/>
  <c r="D22" i="1"/>
  <c r="E22" i="1" s="1"/>
  <c r="D21" i="1"/>
  <c r="E21" i="1" s="1"/>
  <c r="D20" i="1"/>
  <c r="E20" i="1" l="1"/>
  <c r="E26" i="1" s="1"/>
  <c r="D9" i="1" l="1"/>
  <c r="D8" i="1"/>
  <c r="D7" i="1"/>
  <c r="E7" i="1" s="1"/>
  <c r="D6" i="1"/>
  <c r="E6" i="1" l="1"/>
  <c r="E12" i="1" s="1"/>
</calcChain>
</file>

<file path=xl/comments1.xml><?xml version="1.0" encoding="utf-8"?>
<comments xmlns="http://schemas.openxmlformats.org/spreadsheetml/2006/main">
  <authors>
    <author>MARIE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Entrer votre SAU qui comprend toutes vos surfaces cultivées et non uniquement vos surfaces fertilisées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 xml:space="preserve">Entrer la quantité en kg et non en tonne (1 tonne = 1000kg)
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 xml:space="preserve">En l'absence d'analyse de compost entrer la valeur 0,65
</t>
        </r>
      </text>
    </comment>
  </commentList>
</comments>
</file>

<file path=xl/sharedStrings.xml><?xml version="1.0" encoding="utf-8"?>
<sst xmlns="http://schemas.openxmlformats.org/spreadsheetml/2006/main" count="18" uniqueCount="11">
  <si>
    <t>Bilan azoté global</t>
  </si>
  <si>
    <t>Fertilisant apporté</t>
  </si>
  <si>
    <t>Teneur en azote (%)</t>
  </si>
  <si>
    <t>Quantité totale de fertilisant apportée (kg)</t>
  </si>
  <si>
    <t>Quantité totale d'azote apportée (kg)</t>
  </si>
  <si>
    <t>Importation d'azote sur l'exploitation (kg N/ha)</t>
  </si>
  <si>
    <t>Bilan azoté</t>
  </si>
  <si>
    <t>Exemple :</t>
  </si>
  <si>
    <t>Fumier composté</t>
  </si>
  <si>
    <t>SAU de l'exploitation :</t>
  </si>
  <si>
    <t>Engrais 3-2-5+4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</si>
</sst>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2"/>
      <color theme="1"/>
      <name val="Liberation Sans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EC700"/>
        <bgColor indexed="64"/>
      </patternFill>
    </fill>
    <fill>
      <patternFill patternType="solid">
        <fgColor rgb="FFEDA103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9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3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8" borderId="1"/>
    <xf numFmtId="0" fontId="13" fillId="0" borderId="0"/>
    <xf numFmtId="0" fontId="1" fillId="0" borderId="0"/>
    <xf numFmtId="0" fontId="1" fillId="0" borderId="0"/>
    <xf numFmtId="0" fontId="4" fillId="0" borderId="0"/>
  </cellStyleXfs>
  <cellXfs count="14">
    <xf numFmtId="0" fontId="0" fillId="0" borderId="0" xfId="0"/>
    <xf numFmtId="0" fontId="15" fillId="0" borderId="2" xfId="0" applyFont="1" applyBorder="1"/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/>
    </xf>
    <xf numFmtId="0" fontId="16" fillId="9" borderId="3" xfId="0" applyFont="1" applyFill="1" applyBorder="1" applyAlignment="1">
      <alignment horizontal="right"/>
    </xf>
    <xf numFmtId="1" fontId="16" fillId="9" borderId="2" xfId="0" applyNumberFormat="1" applyFont="1" applyFill="1" applyBorder="1" applyAlignment="1">
      <alignment horizontal="center"/>
    </xf>
    <xf numFmtId="0" fontId="17" fillId="0" borderId="0" xfId="0" applyFont="1"/>
    <xf numFmtId="0" fontId="14" fillId="10" borderId="2" xfId="0" applyFont="1" applyFill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right"/>
    </xf>
    <xf numFmtId="0" fontId="18" fillId="0" borderId="3" xfId="0" applyFont="1" applyFill="1" applyBorder="1" applyAlignment="1">
      <alignment horizontal="center"/>
    </xf>
    <xf numFmtId="0" fontId="18" fillId="0" borderId="3" xfId="0" applyFont="1" applyFill="1" applyBorder="1" applyAlignment="1" applyProtection="1">
      <alignment horizontal="center"/>
      <protection locked="0"/>
    </xf>
    <xf numFmtId="0" fontId="15" fillId="0" borderId="2" xfId="0" applyFont="1" applyBorder="1" applyProtection="1">
      <protection locked="0"/>
    </xf>
    <xf numFmtId="0" fontId="15" fillId="0" borderId="2" xfId="0" applyFont="1" applyBorder="1" applyAlignment="1" applyProtection="1">
      <alignment horizontal="center"/>
      <protection locked="0"/>
    </xf>
  </cellXfs>
  <cellStyles count="19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rmal" xfId="0" builtinId="0" customBuiltin="1"/>
    <cellStyle name="Note" xfId="14"/>
    <cellStyle name="Result" xfId="15"/>
    <cellStyle name="Status" xfId="16"/>
    <cellStyle name="Text" xfId="17"/>
    <cellStyle name="Warning" xfId="18"/>
  </cellStyles>
  <dxfs count="0"/>
  <tableStyles count="0" defaultTableStyle="TableStyleMedium2" defaultPivotStyle="PivotStyleLight16"/>
  <colors>
    <mruColors>
      <color rgb="FFEDA103"/>
      <color rgb="FFFEC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6"/>
  <sheetViews>
    <sheetView tabSelected="1" workbookViewId="0">
      <selection activeCell="C7" sqref="C7"/>
    </sheetView>
  </sheetViews>
  <sheetFormatPr baseColWidth="10" defaultRowHeight="15.75" customHeight="1"/>
  <cols>
    <col min="1" max="1" width="27.5703125" customWidth="1"/>
    <col min="2" max="2" width="20" customWidth="1"/>
    <col min="3" max="5" width="19.7109375" customWidth="1"/>
    <col min="6" max="6" width="19.140625" customWidth="1"/>
    <col min="7" max="26" width="11.28515625" customWidth="1"/>
    <col min="27" max="1024" width="15.28515625" customWidth="1"/>
  </cols>
  <sheetData>
    <row r="1" spans="1:5" ht="21">
      <c r="A1" s="7" t="s">
        <v>0</v>
      </c>
      <c r="B1" s="7"/>
      <c r="C1" s="7"/>
      <c r="D1" s="7"/>
      <c r="E1" s="7"/>
    </row>
    <row r="3" spans="1:5" ht="15">
      <c r="A3" s="9" t="s">
        <v>9</v>
      </c>
      <c r="B3" s="11"/>
    </row>
    <row r="5" spans="1:5" ht="45">
      <c r="A5" s="8" t="s">
        <v>1</v>
      </c>
      <c r="B5" s="8" t="s">
        <v>2</v>
      </c>
      <c r="C5" s="8" t="s">
        <v>3</v>
      </c>
      <c r="D5" s="2" t="s">
        <v>4</v>
      </c>
      <c r="E5" s="2" t="s">
        <v>5</v>
      </c>
    </row>
    <row r="6" spans="1:5" ht="32.25" customHeight="1">
      <c r="A6" s="12"/>
      <c r="B6" s="13"/>
      <c r="C6" s="13"/>
      <c r="D6" s="3">
        <f>B6*C6/100</f>
        <v>0</v>
      </c>
      <c r="E6" s="3">
        <f>IF($B$3=0,0,D6/$B$3)</f>
        <v>0</v>
      </c>
    </row>
    <row r="7" spans="1:5" ht="32.25" customHeight="1">
      <c r="A7" s="12"/>
      <c r="B7" s="13"/>
      <c r="C7" s="13"/>
      <c r="D7" s="3">
        <f>B7*C7/100</f>
        <v>0</v>
      </c>
      <c r="E7" s="3">
        <f t="shared" ref="E7:E9" si="0">IF($B$3=0,0,D7/$B$3)</f>
        <v>0</v>
      </c>
    </row>
    <row r="8" spans="1:5" ht="32.25" customHeight="1">
      <c r="A8" s="12"/>
      <c r="B8" s="13"/>
      <c r="C8" s="13"/>
      <c r="D8" s="3">
        <f>B8*C8/100</f>
        <v>0</v>
      </c>
      <c r="E8" s="3">
        <f t="shared" si="0"/>
        <v>0</v>
      </c>
    </row>
    <row r="9" spans="1:5" ht="32.25" customHeight="1">
      <c r="A9" s="12"/>
      <c r="B9" s="13"/>
      <c r="C9" s="13"/>
      <c r="D9" s="3">
        <f>B9*C9/100</f>
        <v>0</v>
      </c>
      <c r="E9" s="3">
        <f t="shared" si="0"/>
        <v>0</v>
      </c>
    </row>
    <row r="12" spans="1:5" ht="15">
      <c r="A12" s="4" t="s">
        <v>6</v>
      </c>
      <c r="B12" s="4"/>
      <c r="C12" s="4"/>
      <c r="D12" s="4"/>
      <c r="E12" s="5">
        <f>SUM(E6:E9)</f>
        <v>0</v>
      </c>
    </row>
    <row r="15" spans="1:5" ht="15.75" customHeight="1">
      <c r="A15" s="6" t="s">
        <v>7</v>
      </c>
    </row>
    <row r="17" spans="1:5" ht="15.75" customHeight="1">
      <c r="A17" s="9" t="s">
        <v>9</v>
      </c>
      <c r="B17" s="10">
        <v>10</v>
      </c>
    </row>
    <row r="19" spans="1:5" ht="45">
      <c r="A19" s="8" t="s">
        <v>1</v>
      </c>
      <c r="B19" s="8" t="s">
        <v>2</v>
      </c>
      <c r="C19" s="8" t="s">
        <v>3</v>
      </c>
      <c r="D19" s="2" t="s">
        <v>4</v>
      </c>
      <c r="E19" s="2" t="s">
        <v>5</v>
      </c>
    </row>
    <row r="20" spans="1:5" ht="15.75" customHeight="1">
      <c r="A20" s="1" t="s">
        <v>10</v>
      </c>
      <c r="B20" s="3">
        <v>3</v>
      </c>
      <c r="C20" s="3">
        <v>8000</v>
      </c>
      <c r="D20" s="3">
        <f>B20*C20/100</f>
        <v>240</v>
      </c>
      <c r="E20" s="3">
        <f>D20/$B$17</f>
        <v>24</v>
      </c>
    </row>
    <row r="21" spans="1:5" ht="15.75" customHeight="1">
      <c r="A21" s="1" t="s">
        <v>8</v>
      </c>
      <c r="B21" s="3">
        <v>0.65</v>
      </c>
      <c r="C21" s="3">
        <v>10000</v>
      </c>
      <c r="D21" s="3">
        <f>B21*C21/100</f>
        <v>65</v>
      </c>
      <c r="E21" s="3">
        <f t="shared" ref="E21:E23" si="1">D21/$B$17</f>
        <v>6.5</v>
      </c>
    </row>
    <row r="22" spans="1:5" ht="15.75" customHeight="1">
      <c r="A22" s="1"/>
      <c r="B22" s="3"/>
      <c r="C22" s="3"/>
      <c r="D22" s="3">
        <f>B22*C22/100</f>
        <v>0</v>
      </c>
      <c r="E22" s="3">
        <f t="shared" si="1"/>
        <v>0</v>
      </c>
    </row>
    <row r="23" spans="1:5" ht="15.75" customHeight="1">
      <c r="A23" s="1"/>
      <c r="B23" s="3"/>
      <c r="C23" s="3"/>
      <c r="D23" s="3">
        <f>B23*C23/100</f>
        <v>0</v>
      </c>
      <c r="E23" s="3">
        <f t="shared" si="1"/>
        <v>0</v>
      </c>
    </row>
    <row r="26" spans="1:5" ht="15.75" customHeight="1">
      <c r="A26" s="4" t="s">
        <v>6</v>
      </c>
      <c r="B26" s="4"/>
      <c r="C26" s="4"/>
      <c r="D26" s="4"/>
      <c r="E26" s="5">
        <f>SUM(E20:E23)</f>
        <v>30.5</v>
      </c>
    </row>
  </sheetData>
  <sheetProtection password="F2C6" sheet="1" objects="1" scenarios="1" selectLockedCells="1"/>
  <mergeCells count="3">
    <mergeCell ref="A1:E1"/>
    <mergeCell ref="A12:D12"/>
    <mergeCell ref="A26:D26"/>
  </mergeCells>
  <pageMargins left="0" right="0" top="0.39370078740157483" bottom="0.39370078740157483" header="0" footer="0"/>
  <pageSetup paperSize="9" orientation="portrait" r:id="rId1"/>
  <headerFooter>
    <oddHeader>&amp;C&amp;A</oddHeader>
    <oddFooter>&amp;CPage &amp;P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BILAN AZOTE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MARIE</cp:lastModifiedBy>
  <cp:revision>1</cp:revision>
  <dcterms:created xsi:type="dcterms:W3CDTF">2022-03-21T17:32:27Z</dcterms:created>
  <dcterms:modified xsi:type="dcterms:W3CDTF">2022-04-29T09:24:30Z</dcterms:modified>
</cp:coreProperties>
</file>