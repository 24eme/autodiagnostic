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/>
  <workbookPr/>
  <mc:AlternateContent xmlns:mc="http://schemas.openxmlformats.org/markup-compatibility/2006">
    <mc:Choice Requires="x15">
      <x15ac:absPath xmlns:x15ac="http://schemas.microsoft.com/office/spreadsheetml/2010/11/ac" url="V:\Enquêtes\Outil d'autodiagnostic\"/>
    </mc:Choice>
  </mc:AlternateContent>
  <xr:revisionPtr revIDLastSave="0" documentId="13_ncr:1_{42D8BDC3-25FE-41F4-A30E-EDB7C7CEBEB0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IAE_simplifié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" i="1" l="1"/>
  <c r="E16" i="1"/>
  <c r="E17" i="1"/>
  <c r="E15" i="1"/>
  <c r="E14" i="1"/>
  <c r="E13" i="1"/>
  <c r="E10" i="1"/>
  <c r="E11" i="1" l="1"/>
  <c r="E19" i="1" l="1"/>
  <c r="E20" i="1" l="1"/>
</calcChain>
</file>

<file path=xl/sharedStrings.xml><?xml version="1.0" encoding="utf-8"?>
<sst xmlns="http://schemas.openxmlformats.org/spreadsheetml/2006/main" count="30" uniqueCount="26">
  <si>
    <t>Outil de calcul de la SET</t>
  </si>
  <si>
    <t>Indiquez le nombre, la surface ou le linéaire pour chaque IAE dont vous disposez, et votre SAU (exprimée en ha) dans les cases jaunes correspondantes</t>
  </si>
  <si>
    <t>Pour toute IAE comptabilisée en éléments linéaires : il faut que l'élément jouxte une parcelle de l'exploitation (c'est-à-dire qu'à défaut d'être inclus au parcellaire de l'exploitation, l'élément linéaire doit être contigu à la parcelle de l'exploitation)</t>
  </si>
  <si>
    <t xml:space="preserve">SAU = surface agricole utile = surface ayant eu au moins 1 action agricole par an </t>
  </si>
  <si>
    <t>Calcul de la surface en IAE en ha (SET)</t>
  </si>
  <si>
    <t>Infrastructures agroécologiques (IAE)</t>
  </si>
  <si>
    <t>Unité</t>
  </si>
  <si>
    <t>Nombre sur l’exploitation</t>
  </si>
  <si>
    <t>Valeur en SET</t>
  </si>
  <si>
    <t>Haies</t>
  </si>
  <si>
    <t>m linéaire</t>
  </si>
  <si>
    <t>Agroforesterie et alignement d’arbres</t>
  </si>
  <si>
    <t>Arbres isolés</t>
  </si>
  <si>
    <t>arbre</t>
  </si>
  <si>
    <t>« Autres milieux », toutes surfaces ne recevant ni intrant (fertilisants et traitements), ni labour depuis au moins 5 ans (ex : talus, ruptures de pentes…)</t>
  </si>
  <si>
    <t>m</t>
  </si>
  <si>
    <t>ha</t>
  </si>
  <si>
    <t>Surface Agricole Utile (SAU) en ha :</t>
  </si>
  <si>
    <t>Surface en infrastructure agro-écologique :</t>
  </si>
  <si>
    <t xml:space="preserve">SET en % de la SAU </t>
  </si>
  <si>
    <t>Fossé non maçonné</t>
  </si>
  <si>
    <t>Lisières de bois, tournières</t>
  </si>
  <si>
    <t>Jachère</t>
  </si>
  <si>
    <t>Si un chemin communal (ou route) est présent entre votre parcelle et une IAE (haie, alignement d'arbres,…) vous ne pouvez pas comptabiliser cet élément donc vous n'avez pas l'entière maitrise.</t>
  </si>
  <si>
    <t>Les fossés en bordure de route ou chemin, même si ils jouxtent votre parcelle ne peuvent être comptabilisés.</t>
  </si>
  <si>
    <t>Les tournières doivent être comptabilisées en longueur en périphérie de parcelle et non en surface.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</si>
</sst>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19">
    <font>
      <sz val="10"/>
      <color rgb="FF000000"/>
      <name val="Liberation Sans"/>
    </font>
    <font>
      <sz val="10"/>
      <color rgb="FF000000"/>
      <name val="Liberation Sans"/>
    </font>
    <font>
      <b/>
      <sz val="10"/>
      <color rgb="FF000000"/>
      <name val="Liberation Sans"/>
    </font>
    <font>
      <b/>
      <sz val="10"/>
      <color rgb="FFFFFFFF"/>
      <name val="Liberation Sans"/>
    </font>
    <font>
      <sz val="10"/>
      <color rgb="FFCC0000"/>
      <name val="Liberation Sans"/>
    </font>
    <font>
      <i/>
      <sz val="10"/>
      <color rgb="FF808080"/>
      <name val="Liberation Sans"/>
    </font>
    <font>
      <sz val="10"/>
      <color rgb="FF006600"/>
      <name val="Liberation Sans"/>
    </font>
    <font>
      <b/>
      <sz val="24"/>
      <color rgb="FF000000"/>
      <name val="Liberation Sans"/>
    </font>
    <font>
      <b/>
      <sz val="18"/>
      <color rgb="FF000000"/>
      <name val="Liberation Sans"/>
    </font>
    <font>
      <b/>
      <sz val="12"/>
      <color rgb="FF000000"/>
      <name val="Liberation Sans"/>
    </font>
    <font>
      <u/>
      <sz val="10"/>
      <color rgb="FF0000EE"/>
      <name val="Liberation Sans"/>
    </font>
    <font>
      <sz val="10"/>
      <color rgb="FF996600"/>
      <name val="Liberation Sans"/>
    </font>
    <font>
      <sz val="10"/>
      <color rgb="FF333333"/>
      <name val="Liberation Sans"/>
    </font>
    <font>
      <b/>
      <i/>
      <u/>
      <sz val="10"/>
      <color rgb="FF000000"/>
      <name val="Liberation Sans"/>
    </font>
    <font>
      <sz val="22"/>
      <color rgb="FF000000"/>
      <name val="Roboto Slab"/>
    </font>
    <font>
      <sz val="13"/>
      <color rgb="FF000000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1"/>
      <color rgb="FF00000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F8F5B6"/>
        <bgColor rgb="FFF8F5B6"/>
      </patternFill>
    </fill>
  </fills>
  <borders count="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</borders>
  <cellStyleXfs count="20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3" fillId="6" borderId="0" applyNumberFormat="0" applyBorder="0" applyProtection="0"/>
    <xf numFmtId="0" fontId="5" fillId="0" borderId="0" applyNumberFormat="0" applyBorder="0" applyProtection="0"/>
    <xf numFmtId="0" fontId="6" fillId="7" borderId="0" applyNumberFormat="0" applyBorder="0" applyProtection="0"/>
    <xf numFmtId="0" fontId="7" fillId="0" borderId="0" applyNumberFormat="0" applyBorder="0" applyProtection="0"/>
    <xf numFmtId="0" fontId="8" fillId="0" borderId="0" applyNumberFormat="0" applyBorder="0" applyProtection="0"/>
    <xf numFmtId="0" fontId="9" fillId="0" borderId="0" applyNumberFormat="0" applyBorder="0" applyProtection="0"/>
    <xf numFmtId="0" fontId="10" fillId="0" borderId="0" applyNumberFormat="0" applyBorder="0" applyProtection="0"/>
    <xf numFmtId="0" fontId="11" fillId="8" borderId="0" applyNumberFormat="0" applyBorder="0" applyProtection="0"/>
    <xf numFmtId="0" fontId="12" fillId="8" borderId="1" applyNumberFormat="0" applyProtection="0"/>
    <xf numFmtId="0" fontId="13" fillId="0" borderId="0" applyNumberFormat="0" applyBorder="0" applyProtection="0"/>
    <xf numFmtId="0" fontId="1" fillId="0" borderId="0" applyNumberFormat="0" applyFont="0" applyBorder="0" applyProtection="0"/>
    <xf numFmtId="0" fontId="1" fillId="0" borderId="0" applyNumberFormat="0" applyFont="0" applyBorder="0" applyProtection="0"/>
    <xf numFmtId="0" fontId="4" fillId="0" borderId="0" applyNumberFormat="0" applyBorder="0" applyProtection="0"/>
  </cellStyleXfs>
  <cellXfs count="27">
    <xf numFmtId="0" fontId="0" fillId="0" borderId="0" xfId="0"/>
    <xf numFmtId="0" fontId="14" fillId="0" borderId="0" xfId="0" applyFont="1" applyAlignment="1">
      <alignment horizontal="center"/>
    </xf>
    <xf numFmtId="0" fontId="15" fillId="0" borderId="0" xfId="0" applyFont="1" applyAlignment="1">
      <alignment horizontal="center" wrapText="1"/>
    </xf>
    <xf numFmtId="0" fontId="17" fillId="0" borderId="4" xfId="0" applyFont="1" applyBorder="1" applyAlignment="1">
      <alignment horizontal="left" vertical="top" wrapText="1"/>
    </xf>
    <xf numFmtId="0" fontId="18" fillId="0" borderId="4" xfId="0" applyFont="1" applyBorder="1" applyAlignment="1">
      <alignment horizontal="center" vertical="center" wrapText="1"/>
    </xf>
    <xf numFmtId="0" fontId="17" fillId="0" borderId="4" xfId="0" applyFont="1" applyBorder="1" applyAlignment="1">
      <alignment horizontal="center" vertical="center" wrapText="1"/>
    </xf>
    <xf numFmtId="0" fontId="17" fillId="0" borderId="4" xfId="0" applyFont="1" applyBorder="1" applyAlignment="1">
      <alignment horizontal="left" vertical="center" wrapText="1"/>
    </xf>
    <xf numFmtId="2" fontId="17" fillId="0" borderId="4" xfId="0" applyNumberFormat="1" applyFont="1" applyBorder="1" applyAlignment="1">
      <alignment horizontal="left" vertical="top" wrapText="1"/>
    </xf>
    <xf numFmtId="0" fontId="17" fillId="0" borderId="5" xfId="0" applyFont="1" applyBorder="1" applyAlignment="1">
      <alignment horizontal="center" vertical="center" wrapText="1"/>
    </xf>
    <xf numFmtId="2" fontId="17" fillId="0" borderId="5" xfId="0" applyNumberFormat="1" applyFont="1" applyBorder="1" applyAlignment="1">
      <alignment horizontal="left" vertical="top" wrapText="1"/>
    </xf>
    <xf numFmtId="2" fontId="17" fillId="0" borderId="6" xfId="0" applyNumberFormat="1" applyFont="1" applyBorder="1" applyAlignment="1">
      <alignment horizontal="left" vertical="top" wrapText="1"/>
    </xf>
    <xf numFmtId="164" fontId="17" fillId="0" borderId="8" xfId="1" applyNumberFormat="1" applyFont="1" applyBorder="1" applyAlignment="1">
      <alignment horizontal="left" vertical="top" wrapText="1"/>
    </xf>
    <xf numFmtId="2" fontId="17" fillId="9" borderId="0" xfId="0" applyNumberFormat="1" applyFont="1" applyFill="1" applyAlignment="1" applyProtection="1">
      <alignment horizontal="right" vertical="center"/>
      <protection locked="0"/>
    </xf>
    <xf numFmtId="2" fontId="17" fillId="9" borderId="4" xfId="0" applyNumberFormat="1" applyFont="1" applyFill="1" applyBorder="1" applyAlignment="1" applyProtection="1">
      <alignment horizontal="right" vertical="center"/>
      <protection locked="0"/>
    </xf>
    <xf numFmtId="2" fontId="17" fillId="9" borderId="5" xfId="0" applyNumberFormat="1" applyFont="1" applyFill="1" applyBorder="1" applyAlignment="1" applyProtection="1">
      <alignment horizontal="right" vertical="center"/>
      <protection locked="0"/>
    </xf>
    <xf numFmtId="2" fontId="17" fillId="9" borderId="4" xfId="0" applyNumberFormat="1" applyFont="1" applyFill="1" applyBorder="1" applyAlignment="1" applyProtection="1">
      <alignment horizontal="left" wrapText="1"/>
      <protection locked="0"/>
    </xf>
    <xf numFmtId="0" fontId="18" fillId="0" borderId="4" xfId="0" applyFont="1" applyBorder="1" applyAlignment="1">
      <alignment horizontal="center" vertical="center" wrapText="1"/>
    </xf>
    <xf numFmtId="0" fontId="14" fillId="0" borderId="2" xfId="0" applyFont="1" applyBorder="1" applyAlignment="1">
      <alignment horizontal="center"/>
    </xf>
    <xf numFmtId="0" fontId="15" fillId="0" borderId="0" xfId="0" applyFont="1" applyAlignment="1">
      <alignment horizontal="center" wrapText="1"/>
    </xf>
    <xf numFmtId="0" fontId="17" fillId="0" borderId="0" xfId="0" applyFont="1" applyAlignment="1">
      <alignment horizontal="center" wrapText="1"/>
    </xf>
    <xf numFmtId="0" fontId="0" fillId="0" borderId="3" xfId="0" applyBorder="1"/>
    <xf numFmtId="0" fontId="0" fillId="0" borderId="0" xfId="0" applyAlignment="1">
      <alignment horizontal="left" wrapText="1"/>
    </xf>
    <xf numFmtId="0" fontId="17" fillId="0" borderId="4" xfId="0" applyFont="1" applyBorder="1" applyAlignment="1">
      <alignment horizontal="center" vertical="center" wrapText="1"/>
    </xf>
    <xf numFmtId="0" fontId="17" fillId="0" borderId="4" xfId="0" applyFont="1" applyBorder="1" applyAlignment="1">
      <alignment horizontal="right" wrapText="1"/>
    </xf>
    <xf numFmtId="0" fontId="18" fillId="0" borderId="7" xfId="0" applyFont="1" applyBorder="1" applyAlignment="1">
      <alignment horizontal="right" vertical="center" wrapText="1"/>
    </xf>
    <xf numFmtId="0" fontId="16" fillId="0" borderId="0" xfId="0" applyFont="1" applyAlignment="1">
      <alignment horizontal="left" vertical="center" wrapText="1"/>
    </xf>
    <xf numFmtId="0" fontId="0" fillId="0" borderId="0" xfId="0" applyAlignment="1">
      <alignment wrapText="1"/>
    </xf>
  </cellXfs>
  <cellStyles count="20">
    <cellStyle name="Accent" xfId="2" xr:uid="{00000000-0005-0000-0000-000000000000}"/>
    <cellStyle name="Accent 1" xfId="3" xr:uid="{00000000-0005-0000-0000-000001000000}"/>
    <cellStyle name="Accent 2" xfId="4" xr:uid="{00000000-0005-0000-0000-000002000000}"/>
    <cellStyle name="Accent 3" xfId="5" xr:uid="{00000000-0005-0000-0000-000003000000}"/>
    <cellStyle name="Bad" xfId="6" xr:uid="{00000000-0005-0000-0000-000004000000}"/>
    <cellStyle name="Error" xfId="7" xr:uid="{00000000-0005-0000-0000-000005000000}"/>
    <cellStyle name="Footnote" xfId="8" xr:uid="{00000000-0005-0000-0000-000006000000}"/>
    <cellStyle name="Good" xfId="9" xr:uid="{00000000-0005-0000-0000-000007000000}"/>
    <cellStyle name="Heading" xfId="10" xr:uid="{00000000-0005-0000-0000-000008000000}"/>
    <cellStyle name="Heading 1" xfId="11" xr:uid="{00000000-0005-0000-0000-000009000000}"/>
    <cellStyle name="Heading 2" xfId="12" xr:uid="{00000000-0005-0000-0000-00000A000000}"/>
    <cellStyle name="Hyperlink" xfId="13" xr:uid="{00000000-0005-0000-0000-00000B000000}"/>
    <cellStyle name="Neutral" xfId="14" xr:uid="{00000000-0005-0000-0000-00000C000000}"/>
    <cellStyle name="Normal" xfId="0" builtinId="0" customBuiltin="1"/>
    <cellStyle name="Note" xfId="15" xr:uid="{00000000-0005-0000-0000-00000E000000}"/>
    <cellStyle name="Pourcentage" xfId="1" builtinId="5" customBuiltin="1"/>
    <cellStyle name="Result" xfId="16" xr:uid="{00000000-0005-0000-0000-000010000000}"/>
    <cellStyle name="Status" xfId="17" xr:uid="{00000000-0005-0000-0000-000011000000}"/>
    <cellStyle name="Text" xfId="18" xr:uid="{00000000-0005-0000-0000-000012000000}"/>
    <cellStyle name="Warning" xfId="19" xr:uid="{00000000-0005-0000-0000-00001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J21"/>
  <sheetViews>
    <sheetView tabSelected="1" workbookViewId="0">
      <selection activeCell="H21" sqref="H21"/>
    </sheetView>
  </sheetViews>
  <sheetFormatPr baseColWidth="10" defaultColWidth="11.85546875" defaultRowHeight="15.75" customHeight="1"/>
  <cols>
    <col min="1" max="1" width="6.5703125" customWidth="1"/>
    <col min="2" max="2" width="73.5703125" customWidth="1"/>
    <col min="3" max="3" width="15.28515625" customWidth="1"/>
    <col min="4" max="4" width="18.42578125" customWidth="1"/>
    <col min="5" max="1024" width="15.28515625" customWidth="1"/>
    <col min="1025" max="1025" width="11.85546875" customWidth="1"/>
  </cols>
  <sheetData>
    <row r="1" spans="2:10" ht="15.75" customHeight="1" thickBot="1"/>
    <row r="2" spans="2:10" ht="37.15" customHeight="1" thickBot="1">
      <c r="B2" s="17" t="s">
        <v>0</v>
      </c>
      <c r="C2" s="17"/>
      <c r="D2" s="17"/>
      <c r="E2" s="17"/>
    </row>
    <row r="3" spans="2:10" ht="18.600000000000001" customHeight="1">
      <c r="B3" s="1"/>
      <c r="C3" s="1"/>
      <c r="D3" s="1"/>
      <c r="E3" s="1"/>
    </row>
    <row r="4" spans="2:10" ht="40.9" customHeight="1">
      <c r="B4" s="18" t="s">
        <v>1</v>
      </c>
      <c r="C4" s="18"/>
      <c r="D4" s="18"/>
      <c r="E4" s="18"/>
      <c r="G4" s="25" t="s">
        <v>2</v>
      </c>
      <c r="H4" s="25"/>
      <c r="I4" s="25"/>
      <c r="J4" s="25"/>
    </row>
    <row r="5" spans="2:10" ht="15.75" customHeight="1">
      <c r="B5" s="2"/>
      <c r="C5" s="2"/>
      <c r="D5" s="2"/>
      <c r="E5" s="2"/>
      <c r="G5" s="25"/>
      <c r="H5" s="25"/>
      <c r="I5" s="25"/>
      <c r="J5" s="25"/>
    </row>
    <row r="6" spans="2:10" ht="18" customHeight="1">
      <c r="B6" s="19" t="s">
        <v>3</v>
      </c>
      <c r="C6" s="19"/>
      <c r="D6" s="19"/>
      <c r="E6" s="19"/>
    </row>
    <row r="7" spans="2:10" ht="12.75">
      <c r="B7" s="20"/>
      <c r="C7" s="20"/>
      <c r="D7" s="20"/>
      <c r="E7" s="20"/>
    </row>
    <row r="8" spans="2:10" ht="15">
      <c r="B8" s="3"/>
      <c r="C8" s="16" t="s">
        <v>4</v>
      </c>
      <c r="D8" s="16"/>
      <c r="E8" s="16"/>
      <c r="G8" s="25" t="s">
        <v>23</v>
      </c>
      <c r="H8" s="25"/>
      <c r="I8" s="25"/>
      <c r="J8" s="25"/>
    </row>
    <row r="9" spans="2:10" ht="28.5">
      <c r="B9" s="4" t="s">
        <v>5</v>
      </c>
      <c r="C9" s="5" t="s">
        <v>6</v>
      </c>
      <c r="D9" s="5" t="s">
        <v>7</v>
      </c>
      <c r="E9" s="5" t="s">
        <v>8</v>
      </c>
      <c r="G9" s="25"/>
      <c r="H9" s="25"/>
      <c r="I9" s="25"/>
      <c r="J9" s="25"/>
    </row>
    <row r="10" spans="2:10" ht="14.25">
      <c r="B10" s="6" t="s">
        <v>9</v>
      </c>
      <c r="C10" s="5" t="s">
        <v>10</v>
      </c>
      <c r="D10" s="12"/>
      <c r="E10" s="7">
        <f>D10*0.002</f>
        <v>0</v>
      </c>
      <c r="G10" s="25"/>
      <c r="H10" s="25"/>
      <c r="I10" s="25"/>
      <c r="J10" s="25"/>
    </row>
    <row r="11" spans="2:10" ht="14.25">
      <c r="B11" s="6" t="s">
        <v>11</v>
      </c>
      <c r="C11" s="5" t="s">
        <v>10</v>
      </c>
      <c r="D11" s="13"/>
      <c r="E11" s="7">
        <f>D11*0.001</f>
        <v>0</v>
      </c>
    </row>
    <row r="12" spans="2:10" ht="14.25">
      <c r="B12" s="6" t="s">
        <v>12</v>
      </c>
      <c r="C12" s="5" t="s">
        <v>13</v>
      </c>
      <c r="D12" s="13"/>
      <c r="E12" s="7">
        <f>D12*0.003</f>
        <v>0</v>
      </c>
      <c r="G12" s="21" t="s">
        <v>24</v>
      </c>
      <c r="H12" s="21"/>
      <c r="I12" s="21"/>
      <c r="J12" s="21"/>
    </row>
    <row r="13" spans="2:10" ht="14.25">
      <c r="B13" s="6" t="s">
        <v>20</v>
      </c>
      <c r="C13" s="5" t="s">
        <v>10</v>
      </c>
      <c r="D13" s="13"/>
      <c r="E13" s="7">
        <f>D13*0.001</f>
        <v>0</v>
      </c>
      <c r="G13" s="21"/>
      <c r="H13" s="21"/>
      <c r="I13" s="21"/>
      <c r="J13" s="21"/>
    </row>
    <row r="14" spans="2:10" ht="41.45" customHeight="1">
      <c r="B14" s="6" t="s">
        <v>21</v>
      </c>
      <c r="C14" s="5" t="s">
        <v>10</v>
      </c>
      <c r="D14" s="13"/>
      <c r="E14" s="7">
        <f>D14*0.0009</f>
        <v>0</v>
      </c>
      <c r="G14" s="26"/>
      <c r="H14" s="26"/>
      <c r="I14" s="26"/>
      <c r="J14" s="26"/>
    </row>
    <row r="15" spans="2:10" ht="14.25">
      <c r="B15" s="6" t="s">
        <v>22</v>
      </c>
      <c r="C15" s="5" t="s">
        <v>16</v>
      </c>
      <c r="D15" s="13"/>
      <c r="E15" s="7">
        <f>D15</f>
        <v>0</v>
      </c>
      <c r="G15" s="21" t="s">
        <v>25</v>
      </c>
      <c r="H15" s="21"/>
      <c r="I15" s="21"/>
      <c r="J15" s="21"/>
    </row>
    <row r="16" spans="2:10" ht="14.25">
      <c r="B16" s="22" t="s">
        <v>14</v>
      </c>
      <c r="C16" s="5" t="s">
        <v>15</v>
      </c>
      <c r="D16" s="13"/>
      <c r="E16" s="7">
        <f>D16*0.0005</f>
        <v>0</v>
      </c>
      <c r="G16" s="21"/>
      <c r="H16" s="21"/>
      <c r="I16" s="21"/>
      <c r="J16" s="21"/>
    </row>
    <row r="17" spans="2:10" ht="14.25">
      <c r="B17" s="22"/>
      <c r="C17" s="8" t="s">
        <v>16</v>
      </c>
      <c r="D17" s="14"/>
      <c r="E17" s="9">
        <f>D17*1</f>
        <v>0</v>
      </c>
      <c r="G17" s="26"/>
      <c r="H17" s="26"/>
      <c r="I17" s="26"/>
      <c r="J17" s="26"/>
    </row>
    <row r="18" spans="2:10" ht="14.25">
      <c r="B18" s="23" t="s">
        <v>17</v>
      </c>
      <c r="C18" s="23"/>
      <c r="D18" s="23"/>
      <c r="E18" s="15"/>
      <c r="G18" s="26"/>
      <c r="H18" s="26"/>
      <c r="I18" s="26"/>
      <c r="J18" s="26"/>
    </row>
    <row r="19" spans="2:10" ht="15.75" customHeight="1" thickBot="1">
      <c r="B19" s="23" t="s">
        <v>18</v>
      </c>
      <c r="C19" s="23"/>
      <c r="D19" s="23"/>
      <c r="E19" s="10">
        <f>SUM(E10:E17)</f>
        <v>0</v>
      </c>
      <c r="G19" s="26"/>
      <c r="H19" s="26"/>
      <c r="I19" s="26"/>
      <c r="J19" s="26"/>
    </row>
    <row r="20" spans="2:10" ht="15.75" customHeight="1" thickTop="1" thickBot="1">
      <c r="B20" s="24" t="s">
        <v>19</v>
      </c>
      <c r="C20" s="24"/>
      <c r="D20" s="24"/>
      <c r="E20" s="11" t="e">
        <f>E19/E18</f>
        <v>#DIV/0!</v>
      </c>
      <c r="G20" s="26"/>
      <c r="H20" s="26"/>
      <c r="I20" s="26"/>
      <c r="J20" s="26"/>
    </row>
    <row r="21" spans="2:10" ht="15.75" customHeight="1" thickTop="1"/>
  </sheetData>
  <sheetProtection selectLockedCells="1"/>
  <mergeCells count="13">
    <mergeCell ref="B16:B17"/>
    <mergeCell ref="B18:D18"/>
    <mergeCell ref="B19:D19"/>
    <mergeCell ref="B20:D20"/>
    <mergeCell ref="G12:J13"/>
    <mergeCell ref="G15:J16"/>
    <mergeCell ref="C8:E8"/>
    <mergeCell ref="G8:J10"/>
    <mergeCell ref="B2:E2"/>
    <mergeCell ref="B4:E4"/>
    <mergeCell ref="G4:J5"/>
    <mergeCell ref="B6:E6"/>
    <mergeCell ref="B7:E7"/>
  </mergeCells>
  <pageMargins left="0" right="0" top="0.39370078740157505" bottom="0.39370078740157505" header="0" footer="0"/>
  <pageSetup paperSize="9" fitToWidth="0" fitToHeight="0" orientation="portrait" r:id="rId1"/>
  <headerFooter>
    <oddHeader>&amp;C&amp;A</oddHeader>
    <oddFooter>&amp;CPage &amp;P</oddFooter>
  </headerFooter>
  <ignoredErrors>
    <ignoredError sqref="E12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IAE_simplifié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Camille RAYNAL</dc:creator>
  <cp:lastModifiedBy>MARIE</cp:lastModifiedBy>
  <cp:revision>1</cp:revision>
  <dcterms:created xsi:type="dcterms:W3CDTF">2022-03-21T17:40:13Z</dcterms:created>
  <dcterms:modified xsi:type="dcterms:W3CDTF">2023-07-10T15:33:32Z</dcterms:modified>
</cp:coreProperties>
</file>