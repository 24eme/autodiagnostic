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V:\Enquêtes\Outil d'autodiagnostic\"/>
    </mc:Choice>
  </mc:AlternateContent>
  <bookViews>
    <workbookView xWindow="0" yWindow="0" windowWidth="28800" windowHeight="12135"/>
  </bookViews>
  <sheets>
    <sheet name="Calcul IFT Herbicides" sheetId="1" r:id="rId1"/>
  </sheets>
  <calcPr calcId="152511"/>
</workbook>
</file>

<file path=xl/calcChain.xml><?xml version="1.0" encoding="utf-8"?>
<calcChain xmlns="http://schemas.openxmlformats.org/spreadsheetml/2006/main">
  <c r="E36" i="1" l="1"/>
  <c r="E11" i="1"/>
  <c r="E12" i="1"/>
  <c r="E13" i="1"/>
  <c r="E15" i="1"/>
  <c r="E16" i="1"/>
  <c r="E17" i="1"/>
  <c r="E18" i="1"/>
  <c r="E19" i="1"/>
  <c r="E21" i="1"/>
  <c r="E24" i="1"/>
  <c r="E25" i="1"/>
  <c r="E26" i="1"/>
  <c r="E27" i="1"/>
  <c r="E28" i="1"/>
  <c r="E29" i="1"/>
  <c r="E30" i="1"/>
  <c r="E31" i="1"/>
  <c r="E32" i="1"/>
  <c r="E20" i="1"/>
  <c r="E8" i="1"/>
  <c r="E14" i="1"/>
  <c r="E22" i="1"/>
  <c r="E34" i="1"/>
  <c r="E35" i="1"/>
  <c r="E33" i="1"/>
  <c r="E23" i="1"/>
  <c r="E9" i="1"/>
  <c r="E37" i="1"/>
  <c r="E38" i="1"/>
  <c r="E10" i="1"/>
  <c r="C5" i="1" l="1"/>
</calcChain>
</file>

<file path=xl/sharedStrings.xml><?xml version="1.0" encoding="utf-8"?>
<sst xmlns="http://schemas.openxmlformats.org/spreadsheetml/2006/main" count="39" uniqueCount="38">
  <si>
    <t>Spécialité commerciale</t>
  </si>
  <si>
    <t>Nombre de passage</t>
  </si>
  <si>
    <t>Autres</t>
  </si>
  <si>
    <t>En face de chaque spécialité commerciale utilisée, entrez le nombre de passages et la dose moyenne utilisée</t>
  </si>
  <si>
    <t>Dose utilisée
si plusieurs doses, mettre la dose moyenne</t>
  </si>
  <si>
    <t>Concentration</t>
  </si>
  <si>
    <t>BB Caffaro WG</t>
  </si>
  <si>
    <t>BB Equal DG</t>
  </si>
  <si>
    <t>BB Mac. 80</t>
  </si>
  <si>
    <t>BB RSR Disperss</t>
  </si>
  <si>
    <t>Champ Flo Ampli</t>
  </si>
  <si>
    <t>Copacabana HiBio</t>
  </si>
  <si>
    <t>Copernico HiBioWG</t>
  </si>
  <si>
    <t>Cupro Top 20 WG</t>
  </si>
  <si>
    <t>Cuprocol Duo</t>
  </si>
  <si>
    <t>Cuproxat SC</t>
  </si>
  <si>
    <t>Fregate SC</t>
  </si>
  <si>
    <t>Héliocuivre</t>
  </si>
  <si>
    <t>Kobber</t>
  </si>
  <si>
    <t>Micros-cop</t>
  </si>
  <si>
    <t>Mojox 75 WG</t>
  </si>
  <si>
    <t>Nordox 75 WG</t>
  </si>
  <si>
    <t>Padone</t>
  </si>
  <si>
    <t>Kocide 2000</t>
  </si>
  <si>
    <t>Kocide Flow</t>
  </si>
  <si>
    <t>Cuprofix F Disperss</t>
  </si>
  <si>
    <t>Amaline Flow</t>
  </si>
  <si>
    <t>Ventaro</t>
  </si>
  <si>
    <t>Carial C Pepite</t>
  </si>
  <si>
    <t>Cymsun</t>
  </si>
  <si>
    <t>Risse</t>
  </si>
  <si>
    <t>Selva</t>
  </si>
  <si>
    <t>Bandido</t>
  </si>
  <si>
    <t>Pangolin DG</t>
  </si>
  <si>
    <t>Falarik DG</t>
  </si>
  <si>
    <t>Cuivre métal (g)</t>
  </si>
  <si>
    <t>Votre quantité de Cu métal (kg) =</t>
  </si>
  <si>
    <t>Outil de calcul simplifié de la dose de cuivre utilisée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</si>
</sst>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0"/>
      <color theme="1"/>
      <name val="Liberation Sans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sz val="8"/>
      <color theme="1"/>
      <name val="Arial"/>
      <family val="2"/>
    </font>
    <font>
      <sz val="8"/>
      <color rgb="FF000000"/>
      <name val="Arial"/>
      <family val="2"/>
    </font>
    <font>
      <i/>
      <sz val="8"/>
      <color rgb="FF000000"/>
      <name val="Arial"/>
      <family val="2"/>
    </font>
    <font>
      <sz val="8"/>
      <color theme="1"/>
      <name val="Liberation Sans"/>
    </font>
    <font>
      <sz val="10"/>
      <color theme="1"/>
      <name val="Arial"/>
      <family val="2"/>
    </font>
    <font>
      <b/>
      <sz val="14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E6E6E6"/>
        <bgColor rgb="FFE6E6E6"/>
      </patternFill>
    </fill>
    <fill>
      <patternFill patternType="solid">
        <fgColor rgb="FFFFFFFF"/>
        <bgColor rgb="FFFFFFFF"/>
      </patternFill>
    </fill>
    <fill>
      <patternFill patternType="solid">
        <fgColor rgb="FFEDA103"/>
        <bgColor indexed="64"/>
      </patternFill>
    </fill>
    <fill>
      <patternFill patternType="solid">
        <fgColor rgb="FFFEC700"/>
        <bgColor indexed="64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3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8" borderId="1"/>
    <xf numFmtId="0" fontId="13" fillId="0" borderId="0"/>
    <xf numFmtId="0" fontId="1" fillId="0" borderId="0"/>
    <xf numFmtId="0" fontId="1" fillId="0" borderId="0"/>
    <xf numFmtId="0" fontId="4" fillId="0" borderId="0"/>
  </cellStyleXfs>
  <cellXfs count="30">
    <xf numFmtId="0" fontId="0" fillId="0" borderId="0" xfId="0"/>
    <xf numFmtId="0" fontId="15" fillId="9" borderId="2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center" vertical="center" wrapText="1"/>
    </xf>
    <xf numFmtId="0" fontId="15" fillId="10" borderId="4" xfId="0" applyFont="1" applyFill="1" applyBorder="1" applyAlignment="1">
      <alignment vertical="center" wrapText="1"/>
    </xf>
    <xf numFmtId="0" fontId="15" fillId="10" borderId="2" xfId="0" applyFont="1" applyFill="1" applyBorder="1" applyAlignment="1">
      <alignment vertical="center" wrapText="1"/>
    </xf>
    <xf numFmtId="0" fontId="15" fillId="0" borderId="4" xfId="0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5" xfId="0" applyFont="1" applyBorder="1" applyAlignment="1" applyProtection="1">
      <alignment horizontal="center" vertical="center"/>
      <protection locked="0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18" fillId="12" borderId="0" xfId="0" applyFont="1" applyFill="1" applyBorder="1" applyAlignment="1">
      <alignment horizontal="right" vertical="center"/>
    </xf>
    <xf numFmtId="0" fontId="15" fillId="13" borderId="4" xfId="0" applyFont="1" applyFill="1" applyBorder="1" applyAlignment="1">
      <alignment vertical="center" wrapText="1"/>
    </xf>
    <xf numFmtId="9" fontId="15" fillId="0" borderId="4" xfId="0" applyNumberFormat="1" applyFont="1" applyBorder="1" applyAlignment="1">
      <alignment horizontal="center" vertical="center" wrapText="1"/>
    </xf>
    <xf numFmtId="9" fontId="15" fillId="10" borderId="4" xfId="0" applyNumberFormat="1" applyFont="1" applyFill="1" applyBorder="1" applyAlignment="1">
      <alignment horizontal="center" vertical="center" wrapText="1"/>
    </xf>
    <xf numFmtId="10" fontId="15" fillId="0" borderId="4" xfId="0" applyNumberFormat="1" applyFont="1" applyBorder="1" applyAlignment="1">
      <alignment horizontal="center" vertical="center" wrapText="1"/>
    </xf>
    <xf numFmtId="10" fontId="15" fillId="10" borderId="4" xfId="0" applyNumberFormat="1" applyFont="1" applyFill="1" applyBorder="1" applyAlignment="1">
      <alignment horizontal="center" vertical="center" wrapText="1"/>
    </xf>
    <xf numFmtId="9" fontId="15" fillId="10" borderId="2" xfId="0" applyNumberFormat="1" applyFont="1" applyFill="1" applyBorder="1" applyAlignment="1">
      <alignment horizontal="center" vertical="center" wrapText="1"/>
    </xf>
    <xf numFmtId="0" fontId="16" fillId="10" borderId="4" xfId="0" applyFont="1" applyFill="1" applyBorder="1" applyAlignment="1" applyProtection="1">
      <alignment horizontal="right" vertical="center" wrapText="1"/>
      <protection locked="0"/>
    </xf>
    <xf numFmtId="0" fontId="15" fillId="10" borderId="5" xfId="0" applyFont="1" applyFill="1" applyBorder="1" applyAlignment="1">
      <alignment vertical="center" wrapText="1"/>
    </xf>
    <xf numFmtId="0" fontId="15" fillId="13" borderId="2" xfId="0" applyFont="1" applyFill="1" applyBorder="1" applyAlignment="1">
      <alignment vertical="center" wrapText="1"/>
    </xf>
    <xf numFmtId="0" fontId="15" fillId="10" borderId="4" xfId="0" applyFont="1" applyFill="1" applyBorder="1" applyAlignment="1" applyProtection="1">
      <alignment horizontal="center" vertical="center" wrapText="1"/>
      <protection locked="0"/>
    </xf>
    <xf numFmtId="9" fontId="15" fillId="10" borderId="5" xfId="0" applyNumberFormat="1" applyFont="1" applyFill="1" applyBorder="1" applyAlignment="1">
      <alignment horizontal="center" vertical="center" wrapText="1"/>
    </xf>
    <xf numFmtId="10" fontId="15" fillId="10" borderId="5" xfId="0" applyNumberFormat="1" applyFont="1" applyFill="1" applyBorder="1" applyAlignment="1">
      <alignment horizontal="center" vertical="center" wrapText="1"/>
    </xf>
  </cellXfs>
  <cellStyles count="19">
    <cellStyle name="Accent" xfId="1"/>
    <cellStyle name="Accent 1" xfId="2"/>
    <cellStyle name="Accent 2" xfId="3"/>
    <cellStyle name="Accent 3" xfId="4"/>
    <cellStyle name="Bad" xfId="5"/>
    <cellStyle name="Error" xfId="6"/>
    <cellStyle name="Footnote" xfId="7"/>
    <cellStyle name="Good" xfId="8"/>
    <cellStyle name="Heading" xfId="9"/>
    <cellStyle name="Heading 1" xfId="10"/>
    <cellStyle name="Heading 2" xfId="11"/>
    <cellStyle name="Hyperlink" xfId="12"/>
    <cellStyle name="Neutral" xfId="13"/>
    <cellStyle name="Normal" xfId="0" builtinId="0" customBuiltin="1"/>
    <cellStyle name="Note" xfId="14"/>
    <cellStyle name="Result" xfId="15"/>
    <cellStyle name="Status" xfId="16"/>
    <cellStyle name="Text" xfId="17"/>
    <cellStyle name="Warning" xfId="18"/>
  </cellStyles>
  <dxfs count="0"/>
  <tableStyles count="0" defaultTableStyle="TableStyleMedium2" defaultPivotStyle="PivotStyleLight16"/>
  <colors>
    <mruColors>
      <color rgb="FFFEC700"/>
      <color rgb="FFEDA1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5"/>
  <sheetViews>
    <sheetView tabSelected="1" zoomScale="110" zoomScaleNormal="110" workbookViewId="0">
      <selection activeCell="J11" sqref="J11"/>
    </sheetView>
  </sheetViews>
  <sheetFormatPr baseColWidth="10" defaultRowHeight="15.75" customHeight="1"/>
  <cols>
    <col min="1" max="1" width="17.140625" style="12" customWidth="1"/>
    <col min="2" max="2" width="11.28515625" style="12" customWidth="1"/>
    <col min="3" max="3" width="14.85546875" style="13" bestFit="1" customWidth="1"/>
    <col min="4" max="4" width="17.85546875" style="13" customWidth="1"/>
    <col min="5" max="5" width="9.140625" style="13" customWidth="1"/>
    <col min="6" max="9" width="11.28515625" style="12" customWidth="1"/>
    <col min="10" max="26" width="11.28515625" style="7" customWidth="1"/>
    <col min="27" max="1024" width="15.28515625" style="7" customWidth="1"/>
    <col min="1025" max="16384" width="11.42578125" style="7"/>
  </cols>
  <sheetData>
    <row r="1" spans="1:9" ht="21" customHeight="1">
      <c r="A1" s="15" t="s">
        <v>37</v>
      </c>
      <c r="B1" s="15"/>
      <c r="C1" s="15"/>
      <c r="D1" s="15"/>
      <c r="E1" s="15"/>
      <c r="F1" s="6"/>
      <c r="G1" s="6"/>
      <c r="H1" s="6"/>
      <c r="I1" s="6"/>
    </row>
    <row r="2" spans="1:9" ht="10.5" customHeight="1">
      <c r="A2" s="6"/>
      <c r="B2" s="6"/>
      <c r="C2" s="8"/>
      <c r="D2" s="8"/>
      <c r="E2" s="8"/>
      <c r="F2" s="6"/>
      <c r="G2" s="6"/>
      <c r="H2" s="6"/>
      <c r="I2" s="6"/>
    </row>
    <row r="3" spans="1:9" ht="27.75" customHeight="1">
      <c r="A3" s="16" t="s">
        <v>3</v>
      </c>
      <c r="B3" s="16"/>
      <c r="C3" s="16"/>
      <c r="D3" s="16"/>
      <c r="E3" s="16"/>
      <c r="F3" s="6"/>
      <c r="G3" s="6"/>
      <c r="H3" s="6"/>
      <c r="I3" s="6"/>
    </row>
    <row r="4" spans="1:9" ht="9.75" customHeight="1">
      <c r="A4" s="6"/>
      <c r="B4" s="6"/>
      <c r="C4" s="8"/>
      <c r="D4" s="8"/>
      <c r="E4" s="8"/>
      <c r="F4" s="6"/>
      <c r="G4" s="6"/>
      <c r="H4" s="6"/>
      <c r="I4" s="6"/>
    </row>
    <row r="5" spans="1:9" ht="15.75" customHeight="1">
      <c r="A5" s="17" t="s">
        <v>36</v>
      </c>
      <c r="B5" s="17"/>
      <c r="C5" s="14">
        <f>SUM(E8:E38)/1000</f>
        <v>0</v>
      </c>
      <c r="D5" s="8"/>
      <c r="E5" s="8"/>
      <c r="F5" s="6"/>
      <c r="G5" s="6"/>
      <c r="H5" s="6"/>
      <c r="I5" s="6"/>
    </row>
    <row r="6" spans="1:9" ht="15.75" customHeight="1">
      <c r="A6" s="6"/>
      <c r="B6" s="6"/>
      <c r="C6" s="8"/>
      <c r="D6" s="8"/>
      <c r="E6" s="8"/>
      <c r="F6" s="6"/>
      <c r="G6" s="6"/>
      <c r="H6" s="6"/>
      <c r="I6" s="6"/>
    </row>
    <row r="7" spans="1:9" ht="39" customHeight="1">
      <c r="A7" s="1" t="s">
        <v>0</v>
      </c>
      <c r="B7" s="2" t="s">
        <v>5</v>
      </c>
      <c r="C7" s="2" t="s">
        <v>1</v>
      </c>
      <c r="D7" s="2" t="s">
        <v>4</v>
      </c>
      <c r="E7" s="2" t="s">
        <v>35</v>
      </c>
      <c r="F7" s="6"/>
      <c r="G7" s="6"/>
      <c r="H7" s="6"/>
      <c r="I7" s="6"/>
    </row>
    <row r="8" spans="1:9" ht="14.25" customHeight="1">
      <c r="A8" s="3" t="s">
        <v>26</v>
      </c>
      <c r="B8" s="22">
        <v>0.2666</v>
      </c>
      <c r="C8" s="5"/>
      <c r="D8" s="5"/>
      <c r="E8" s="9">
        <f>IF(B8&gt;0,C8*D8*B8*1000,0)</f>
        <v>0</v>
      </c>
      <c r="F8" s="6"/>
      <c r="G8" s="6"/>
      <c r="H8" s="6"/>
      <c r="I8" s="6"/>
    </row>
    <row r="9" spans="1:9" ht="14.25" customHeight="1">
      <c r="A9" s="3" t="s">
        <v>32</v>
      </c>
      <c r="B9" s="20">
        <v>0.3</v>
      </c>
      <c r="C9" s="5"/>
      <c r="D9" s="5"/>
      <c r="E9" s="9">
        <f>IF(B9&gt;0,C9*D9*B9*1000,0)</f>
        <v>0</v>
      </c>
      <c r="F9" s="6"/>
      <c r="G9" s="6"/>
      <c r="H9" s="6"/>
      <c r="I9" s="6"/>
    </row>
    <row r="10" spans="1:9" ht="14.25" customHeight="1">
      <c r="A10" s="18" t="s">
        <v>6</v>
      </c>
      <c r="B10" s="19">
        <v>0.2</v>
      </c>
      <c r="C10" s="5"/>
      <c r="D10" s="5"/>
      <c r="E10" s="9">
        <f>IF(B10&gt;0,C10*D10*B10*1000,0)</f>
        <v>0</v>
      </c>
      <c r="F10" s="6"/>
      <c r="G10" s="6"/>
      <c r="H10" s="6"/>
      <c r="I10" s="6"/>
    </row>
    <row r="11" spans="1:9" ht="14.25" customHeight="1">
      <c r="A11" s="18" t="s">
        <v>7</v>
      </c>
      <c r="B11" s="19">
        <v>0.2</v>
      </c>
      <c r="C11" s="5"/>
      <c r="D11" s="5"/>
      <c r="E11" s="9">
        <f>IF(B11&gt;0,C11*D11*B11*1000,0)</f>
        <v>0</v>
      </c>
      <c r="F11" s="6"/>
      <c r="G11" s="6"/>
      <c r="H11" s="6"/>
      <c r="I11" s="6"/>
    </row>
    <row r="12" spans="1:9" ht="14.25" customHeight="1">
      <c r="A12" s="18" t="s">
        <v>8</v>
      </c>
      <c r="B12" s="19">
        <v>0.2</v>
      </c>
      <c r="C12" s="5"/>
      <c r="D12" s="5"/>
      <c r="E12" s="9">
        <f>IF(B12&gt;0,C12*D12*B12*1000,0)</f>
        <v>0</v>
      </c>
      <c r="F12" s="6"/>
      <c r="G12" s="6"/>
      <c r="H12" s="6"/>
      <c r="I12" s="6"/>
    </row>
    <row r="13" spans="1:9" ht="14.25" customHeight="1">
      <c r="A13" s="18" t="s">
        <v>9</v>
      </c>
      <c r="B13" s="19">
        <v>0.2</v>
      </c>
      <c r="C13" s="5"/>
      <c r="D13" s="5"/>
      <c r="E13" s="9">
        <f>IF(B13&gt;0,C13*D13*B13*1000,0)</f>
        <v>0</v>
      </c>
      <c r="F13" s="6"/>
      <c r="G13" s="6"/>
      <c r="H13" s="6"/>
      <c r="I13" s="6"/>
    </row>
    <row r="14" spans="1:9" ht="14.25" customHeight="1">
      <c r="A14" s="3" t="s">
        <v>28</v>
      </c>
      <c r="B14" s="22">
        <v>0.13950000000000001</v>
      </c>
      <c r="C14" s="5"/>
      <c r="D14" s="5"/>
      <c r="E14" s="9">
        <f>IF(B14&gt;0,C14*D14*B14*1000,0)</f>
        <v>0</v>
      </c>
      <c r="F14" s="6"/>
      <c r="G14" s="6"/>
      <c r="H14" s="6"/>
      <c r="I14" s="6"/>
    </row>
    <row r="15" spans="1:9" ht="14.25" customHeight="1">
      <c r="A15" s="18" t="s">
        <v>10</v>
      </c>
      <c r="B15" s="19">
        <v>0.36</v>
      </c>
      <c r="C15" s="5"/>
      <c r="D15" s="5"/>
      <c r="E15" s="9">
        <f>IF(B15&gt;0,C15*D15*B15*1000,0)</f>
        <v>0</v>
      </c>
      <c r="F15" s="6"/>
      <c r="G15" s="6"/>
      <c r="H15" s="6"/>
      <c r="I15" s="6"/>
    </row>
    <row r="16" spans="1:9" ht="14.25" customHeight="1">
      <c r="A16" s="18" t="s">
        <v>11</v>
      </c>
      <c r="B16" s="19">
        <v>0.2</v>
      </c>
      <c r="C16" s="5"/>
      <c r="D16" s="5"/>
      <c r="E16" s="9">
        <f>IF(B16&gt;0,C16*D16*B16*1000,0)</f>
        <v>0</v>
      </c>
      <c r="F16" s="6"/>
      <c r="G16" s="6"/>
      <c r="H16" s="6"/>
      <c r="I16" s="6"/>
    </row>
    <row r="17" spans="1:9" ht="14.25" customHeight="1">
      <c r="A17" s="18" t="s">
        <v>12</v>
      </c>
      <c r="B17" s="19">
        <v>0.25</v>
      </c>
      <c r="C17" s="5"/>
      <c r="D17" s="5"/>
      <c r="E17" s="9">
        <f>IF(B17&gt;0,C17*D17*B17*1000,0)</f>
        <v>0</v>
      </c>
      <c r="F17" s="6"/>
      <c r="G17" s="6"/>
      <c r="H17" s="6"/>
      <c r="I17" s="6"/>
    </row>
    <row r="18" spans="1:9" ht="14.25" customHeight="1">
      <c r="A18" s="18" t="s">
        <v>13</v>
      </c>
      <c r="B18" s="19">
        <v>0.2</v>
      </c>
      <c r="C18" s="5"/>
      <c r="D18" s="5"/>
      <c r="E18" s="9">
        <f>IF(B18&gt;0,C18*D18*B18*1000,0)</f>
        <v>0</v>
      </c>
      <c r="F18" s="6"/>
      <c r="G18" s="6"/>
      <c r="H18" s="6"/>
      <c r="I18" s="6"/>
    </row>
    <row r="19" spans="1:9" ht="14.25" customHeight="1">
      <c r="A19" s="18" t="s">
        <v>14</v>
      </c>
      <c r="B19" s="19">
        <v>0.28000000000000003</v>
      </c>
      <c r="C19" s="5"/>
      <c r="D19" s="5"/>
      <c r="E19" s="9">
        <f>IF(B19&gt;0,C19*D19*B19*1000,0)</f>
        <v>0</v>
      </c>
      <c r="F19" s="6"/>
      <c r="G19" s="6"/>
      <c r="H19" s="6"/>
      <c r="I19" s="6"/>
    </row>
    <row r="20" spans="1:9" ht="14.25" customHeight="1">
      <c r="A20" s="3" t="s">
        <v>25</v>
      </c>
      <c r="B20" s="20">
        <v>0.12</v>
      </c>
      <c r="C20" s="5"/>
      <c r="D20" s="5"/>
      <c r="E20" s="9">
        <f>IF(B20&gt;0,C20*D20*B20*1000,0)</f>
        <v>0</v>
      </c>
      <c r="F20" s="6"/>
      <c r="G20" s="6"/>
      <c r="H20" s="6"/>
      <c r="I20" s="6"/>
    </row>
    <row r="21" spans="1:9" ht="14.25" customHeight="1">
      <c r="A21" s="18" t="s">
        <v>15</v>
      </c>
      <c r="B21" s="19">
        <v>0.19</v>
      </c>
      <c r="C21" s="5"/>
      <c r="D21" s="5"/>
      <c r="E21" s="9">
        <f>IF(B21&gt;0,C21*D21*B21*1000,0)</f>
        <v>0</v>
      </c>
      <c r="F21" s="6"/>
      <c r="G21" s="6"/>
      <c r="H21" s="6"/>
      <c r="I21" s="6"/>
    </row>
    <row r="22" spans="1:9" ht="14.25" customHeight="1">
      <c r="A22" s="3" t="s">
        <v>29</v>
      </c>
      <c r="B22" s="20">
        <v>0.3</v>
      </c>
      <c r="C22" s="5"/>
      <c r="D22" s="5"/>
      <c r="E22" s="9">
        <f>IF(B22&gt;0,C22*D22*B22*1000,0)</f>
        <v>0</v>
      </c>
      <c r="F22" s="6"/>
      <c r="G22" s="6"/>
      <c r="H22" s="6"/>
      <c r="I22" s="6"/>
    </row>
    <row r="23" spans="1:9" ht="14.25" customHeight="1">
      <c r="A23" s="3" t="s">
        <v>34</v>
      </c>
      <c r="B23" s="20">
        <v>0.15</v>
      </c>
      <c r="C23" s="5"/>
      <c r="D23" s="5"/>
      <c r="E23" s="9">
        <f>IF(B23&gt;0,C23*D23*B23*1000,0)</f>
        <v>0</v>
      </c>
      <c r="F23" s="6"/>
      <c r="G23" s="6"/>
      <c r="H23" s="6"/>
      <c r="I23" s="6"/>
    </row>
    <row r="24" spans="1:9" ht="14.25" customHeight="1">
      <c r="A24" s="18" t="s">
        <v>16</v>
      </c>
      <c r="B24" s="19">
        <v>0.19</v>
      </c>
      <c r="C24" s="5"/>
      <c r="D24" s="5"/>
      <c r="E24" s="9">
        <f>IF(B24&gt;0,C24*D24*B24*1000,0)</f>
        <v>0</v>
      </c>
      <c r="F24" s="6"/>
      <c r="G24" s="6"/>
      <c r="H24" s="6"/>
      <c r="I24" s="6"/>
    </row>
    <row r="25" spans="1:9" ht="14.25" customHeight="1">
      <c r="A25" s="18" t="s">
        <v>17</v>
      </c>
      <c r="B25" s="19">
        <v>0.4</v>
      </c>
      <c r="C25" s="5"/>
      <c r="D25" s="5"/>
      <c r="E25" s="9">
        <f>IF(B25&gt;0,C25*D25*B25*1000,0)</f>
        <v>0</v>
      </c>
      <c r="F25" s="6"/>
      <c r="G25" s="6"/>
      <c r="H25" s="6"/>
      <c r="I25" s="6"/>
    </row>
    <row r="26" spans="1:9" ht="14.25" customHeight="1">
      <c r="A26" s="18" t="s">
        <v>18</v>
      </c>
      <c r="B26" s="19">
        <v>0.45</v>
      </c>
      <c r="C26" s="5"/>
      <c r="D26" s="5"/>
      <c r="E26" s="9">
        <f>IF(B26&gt;0,C26*D26*B26*1000,0)</f>
        <v>0</v>
      </c>
      <c r="F26" s="6"/>
      <c r="G26" s="6"/>
      <c r="H26" s="6"/>
      <c r="I26" s="6"/>
    </row>
    <row r="27" spans="1:9" ht="14.25" customHeight="1">
      <c r="A27" s="18" t="s">
        <v>23</v>
      </c>
      <c r="B27" s="19">
        <v>0.35</v>
      </c>
      <c r="C27" s="5"/>
      <c r="D27" s="5"/>
      <c r="E27" s="9">
        <f>IF(B27&gt;0,C27*D27*B27*1000,0)</f>
        <v>0</v>
      </c>
      <c r="F27" s="6"/>
      <c r="G27" s="6"/>
      <c r="H27" s="6"/>
      <c r="I27" s="6"/>
    </row>
    <row r="28" spans="1:9" ht="14.25" customHeight="1">
      <c r="A28" s="18" t="s">
        <v>24</v>
      </c>
      <c r="B28" s="19">
        <v>0.3</v>
      </c>
      <c r="C28" s="5"/>
      <c r="D28" s="5"/>
      <c r="E28" s="9">
        <f>IF(B28&gt;0,C28*D28*B28*1000,0)</f>
        <v>0</v>
      </c>
      <c r="F28" s="6"/>
      <c r="G28" s="6"/>
      <c r="H28" s="6"/>
      <c r="I28" s="6"/>
    </row>
    <row r="29" spans="1:9" ht="14.25" customHeight="1">
      <c r="A29" s="18" t="s">
        <v>19</v>
      </c>
      <c r="B29" s="21">
        <v>0.375</v>
      </c>
      <c r="C29" s="5"/>
      <c r="D29" s="5"/>
      <c r="E29" s="9">
        <f>IF(B29&gt;0,C29*D29*B29*1000,0)</f>
        <v>0</v>
      </c>
      <c r="F29" s="6"/>
      <c r="G29" s="6"/>
      <c r="H29" s="6"/>
      <c r="I29" s="6"/>
    </row>
    <row r="30" spans="1:9" ht="14.25" customHeight="1">
      <c r="A30" s="18" t="s">
        <v>20</v>
      </c>
      <c r="B30" s="19">
        <v>0.75</v>
      </c>
      <c r="C30" s="5"/>
      <c r="D30" s="5"/>
      <c r="E30" s="9">
        <f>IF(B30&gt;0,C30*D30*B30*1000,0)</f>
        <v>0</v>
      </c>
      <c r="F30" s="6"/>
      <c r="G30" s="6"/>
      <c r="H30" s="6"/>
      <c r="I30" s="6"/>
    </row>
    <row r="31" spans="1:9" ht="14.25" customHeight="1">
      <c r="A31" s="18" t="s">
        <v>21</v>
      </c>
      <c r="B31" s="20">
        <v>0.75</v>
      </c>
      <c r="C31" s="5"/>
      <c r="D31" s="5"/>
      <c r="E31" s="9">
        <f>IF(B31&gt;0,C31*D31*B31*1000,0)</f>
        <v>0</v>
      </c>
      <c r="F31" s="6"/>
      <c r="G31" s="6"/>
      <c r="H31" s="6"/>
      <c r="I31" s="6"/>
    </row>
    <row r="32" spans="1:9" ht="14.25" customHeight="1">
      <c r="A32" s="26" t="s">
        <v>22</v>
      </c>
      <c r="B32" s="23">
        <v>0.3</v>
      </c>
      <c r="C32" s="10"/>
      <c r="D32" s="10"/>
      <c r="E32" s="9">
        <f>IF(B32&gt;0,C32*D32*B32*1000,0)</f>
        <v>0</v>
      </c>
      <c r="F32" s="6"/>
      <c r="G32" s="6"/>
      <c r="H32" s="6"/>
      <c r="I32" s="6"/>
    </row>
    <row r="33" spans="1:9" ht="14.25" customHeight="1">
      <c r="A33" s="4" t="s">
        <v>33</v>
      </c>
      <c r="B33" s="23">
        <v>0.15</v>
      </c>
      <c r="C33" s="10"/>
      <c r="D33" s="10"/>
      <c r="E33" s="9">
        <f>IF(B33&gt;0,C33*D33*B33*1000,0)</f>
        <v>0</v>
      </c>
      <c r="F33" s="6"/>
      <c r="G33" s="6"/>
      <c r="H33" s="6"/>
      <c r="I33" s="6"/>
    </row>
    <row r="34" spans="1:9" ht="14.25" customHeight="1">
      <c r="A34" s="4" t="s">
        <v>30</v>
      </c>
      <c r="B34" s="23">
        <v>0.3</v>
      </c>
      <c r="C34" s="10"/>
      <c r="D34" s="10"/>
      <c r="E34" s="9">
        <f>IF(B34&gt;0,C34*D34*B34*1000,0)</f>
        <v>0</v>
      </c>
      <c r="F34" s="6"/>
      <c r="G34" s="6"/>
      <c r="H34" s="6"/>
      <c r="I34" s="6"/>
    </row>
    <row r="35" spans="1:9" ht="14.25" customHeight="1">
      <c r="A35" s="25" t="s">
        <v>31</v>
      </c>
      <c r="B35" s="28">
        <v>0.3</v>
      </c>
      <c r="C35" s="11"/>
      <c r="D35" s="11"/>
      <c r="E35" s="9">
        <f>IF(B35&gt;0,C35*D35*B35*1000,0)</f>
        <v>0</v>
      </c>
      <c r="F35" s="6"/>
      <c r="G35" s="6"/>
      <c r="H35" s="6"/>
      <c r="I35" s="6"/>
    </row>
    <row r="36" spans="1:9" ht="14.25" customHeight="1">
      <c r="A36" s="25" t="s">
        <v>27</v>
      </c>
      <c r="B36" s="29">
        <v>0.2666</v>
      </c>
      <c r="C36" s="11"/>
      <c r="D36" s="11"/>
      <c r="E36" s="9">
        <f>IF(B36&gt;0,C36*D36*B36*1000,0)</f>
        <v>0</v>
      </c>
      <c r="F36" s="6"/>
      <c r="G36" s="6"/>
      <c r="H36" s="6"/>
      <c r="I36" s="6"/>
    </row>
    <row r="37" spans="1:9" ht="14.25" customHeight="1">
      <c r="A37" s="24" t="s">
        <v>2</v>
      </c>
      <c r="B37" s="27"/>
      <c r="C37" s="5"/>
      <c r="D37" s="5"/>
      <c r="E37" s="9">
        <f>IF(B37&gt;0,C37*D37*B37*1000,0)</f>
        <v>0</v>
      </c>
      <c r="F37" s="6"/>
      <c r="G37" s="6"/>
      <c r="H37" s="6"/>
      <c r="I37" s="6"/>
    </row>
    <row r="38" spans="1:9" ht="14.25" customHeight="1">
      <c r="A38" s="24" t="s">
        <v>2</v>
      </c>
      <c r="B38" s="27"/>
      <c r="C38" s="5"/>
      <c r="D38" s="5"/>
      <c r="E38" s="9">
        <f>IF(B38&gt;0,C38*D38*B38*1000,0)</f>
        <v>0</v>
      </c>
      <c r="F38" s="6"/>
      <c r="G38" s="6"/>
      <c r="H38" s="6"/>
      <c r="I38" s="6"/>
    </row>
    <row r="39" spans="1:9" ht="14.25" customHeight="1">
      <c r="A39" s="6"/>
      <c r="B39" s="6"/>
      <c r="C39" s="8"/>
      <c r="D39" s="8"/>
      <c r="E39" s="8"/>
      <c r="F39" s="6"/>
      <c r="G39" s="6"/>
      <c r="H39" s="6"/>
      <c r="I39" s="6"/>
    </row>
    <row r="40" spans="1:9" ht="14.25" customHeight="1"/>
    <row r="41" spans="1:9" ht="14.25" customHeight="1"/>
    <row r="42" spans="1:9" ht="14.25" customHeight="1"/>
    <row r="43" spans="1:9" ht="14.25" customHeight="1"/>
    <row r="44" spans="1:9" ht="14.25" customHeight="1"/>
    <row r="45" spans="1:9" ht="14.25" customHeight="1"/>
    <row r="46" spans="1:9" ht="14.25" customHeight="1"/>
    <row r="47" spans="1:9" ht="14.25" customHeight="1"/>
    <row r="48" spans="1:9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  <row r="1003" ht="14.25" customHeight="1"/>
    <row r="1004" ht="14.25" customHeight="1"/>
    <row r="1005" ht="14.25" customHeight="1"/>
  </sheetData>
  <sheetProtection password="F2C6" sheet="1" objects="1" scenarios="1"/>
  <sortState ref="A8:E38">
    <sortCondition ref="A8"/>
  </sortState>
  <mergeCells count="3">
    <mergeCell ref="A1:E1"/>
    <mergeCell ref="A3:E3"/>
    <mergeCell ref="A5:B5"/>
  </mergeCells>
  <pageMargins left="0" right="0" top="0.39370078740157483" bottom="0.39370078740157483" header="0" footer="0"/>
  <pageSetup paperSize="9" orientation="portrait" r:id="rId1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Calcul IFT Herbicides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MARIE</cp:lastModifiedBy>
  <cp:revision>1</cp:revision>
  <dcterms:created xsi:type="dcterms:W3CDTF">2022-03-21T17:32:02Z</dcterms:created>
  <dcterms:modified xsi:type="dcterms:W3CDTF">2022-05-03T08:06:29Z</dcterms:modified>
</cp:coreProperties>
</file>